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_repos\tidysheet\tests\testthat\testdata\"/>
    </mc:Choice>
  </mc:AlternateContent>
  <xr:revisionPtr revIDLastSave="0" documentId="13_ncr:1_{F8F4AFE1-4284-42E4-AB40-D3161EECAAD3}" xr6:coauthVersionLast="47" xr6:coauthVersionMax="47" xr10:uidLastSave="{00000000-0000-0000-0000-000000000000}"/>
  <bookViews>
    <workbookView xWindow="-120" yWindow="-120" windowWidth="29040" windowHeight="15720" firstSheet="2" activeTab="10" xr2:uid="{8B619997-7315-4B37-8480-7612D0E19413}"/>
  </bookViews>
  <sheets>
    <sheet name="demo" sheetId="11" r:id="rId1"/>
    <sheet name="demo_output" sheetId="12" r:id="rId2"/>
    <sheet name="example 1" sheetId="1" r:id="rId3"/>
    <sheet name="example 2" sheetId="2" r:id="rId4"/>
    <sheet name="example 3" sheetId="3" r:id="rId5"/>
    <sheet name="example 4" sheetId="4" r:id="rId6"/>
    <sheet name="example 5" sheetId="5" r:id="rId7"/>
    <sheet name="example 6" sheetId="6" r:id="rId8"/>
    <sheet name="example 7" sheetId="7" r:id="rId9"/>
    <sheet name="example 8" sheetId="8" r:id="rId10"/>
    <sheet name="example 9" sheetId="9" r:id="rId11"/>
    <sheet name="example 10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7" l="1"/>
  <c r="C32" i="7"/>
  <c r="C31" i="7"/>
  <c r="C30" i="7"/>
  <c r="E15" i="1" l="1"/>
</calcChain>
</file>

<file path=xl/sharedStrings.xml><?xml version="1.0" encoding="utf-8"?>
<sst xmlns="http://schemas.openxmlformats.org/spreadsheetml/2006/main" count="366" uniqueCount="215">
  <si>
    <t>Example 1 2023-24</t>
  </si>
  <si>
    <t>England (grossed, excluding double counting)</t>
  </si>
  <si>
    <t>Measure 1:
part a
£ thousand</t>
  </si>
  <si>
    <t>Measure 1:
part b
£ thousand</t>
  </si>
  <si>
    <t>Measure 1
£ thousand</t>
  </si>
  <si>
    <t>A1</t>
  </si>
  <si>
    <t>A2</t>
  </si>
  <si>
    <t>A3</t>
  </si>
  <si>
    <t>A4</t>
  </si>
  <si>
    <t>Total</t>
  </si>
  <si>
    <t>Group</t>
  </si>
  <si>
    <t>fixed</t>
  </si>
  <si>
    <t>ga1</t>
  </si>
  <si>
    <t>ga2</t>
  </si>
  <si>
    <t>ga3</t>
  </si>
  <si>
    <t>ga4</t>
  </si>
  <si>
    <t>gatot</t>
  </si>
  <si>
    <t>Source</t>
  </si>
  <si>
    <t>2019-20</t>
  </si>
  <si>
    <t>2020-21</t>
  </si>
  <si>
    <t>A</t>
  </si>
  <si>
    <t>B</t>
  </si>
  <si>
    <t>C</t>
  </si>
  <si>
    <t>2020-2021</t>
  </si>
  <si>
    <t>2021-22</t>
  </si>
  <si>
    <t>f</t>
  </si>
  <si>
    <t>*f: forecast</t>
  </si>
  <si>
    <t>year</t>
  </si>
  <si>
    <t>column names formatted as dates</t>
  </si>
  <si>
    <t>column names as years</t>
  </si>
  <si>
    <t>The cell below is a pretend drop-down list.</t>
  </si>
  <si>
    <t>Measure 2
£ thousand</t>
  </si>
  <si>
    <t>There is a single row of headers, which will be tidies so that the names of the columns are put into a character string column (a descriptor)</t>
  </si>
  <si>
    <t>The header row can be split (by colons and new lines), into multiple descriptor columns even though not all the headers have the same number of new lines.</t>
  </si>
  <si>
    <t>A simple example of two tables in one sheet</t>
  </si>
  <si>
    <t>Tidy data example: England, 2019-20 to 2021-22 (£ millions)</t>
  </si>
  <si>
    <t>Table 1 - simple</t>
  </si>
  <si>
    <t>Tidy data only has one numeric column. Various examples given below - again with multiple tables in a sheet.</t>
  </si>
  <si>
    <t>Table 2 - with 2 descriptor columns</t>
  </si>
  <si>
    <t>Table 3 - with notes, and year as a column heading</t>
  </si>
  <si>
    <t>Subgroup</t>
  </si>
  <si>
    <t>a</t>
  </si>
  <si>
    <t>b</t>
  </si>
  <si>
    <t>part a</t>
  </si>
  <si>
    <t>part b</t>
  </si>
  <si>
    <t xml:space="preserve">Measure 2
</t>
  </si>
  <si>
    <t>Measure 1</t>
  </si>
  <si>
    <t>total</t>
  </si>
  <si>
    <t>ivhifs</t>
  </si>
  <si>
    <t>1a1to3</t>
  </si>
  <si>
    <t>1b1to3</t>
  </si>
  <si>
    <t>1tottto3</t>
  </si>
  <si>
    <t>nocode</t>
  </si>
  <si>
    <t>3tot1to3</t>
  </si>
  <si>
    <t>s</t>
  </si>
  <si>
    <t>Multiple header rows with merged cells</t>
  </si>
  <si>
    <t>See front page for details</t>
  </si>
  <si>
    <t>Column F and row 15 are hidden. Column F is a character column on the right and can be kept in the output as another descriptor column if specified.</t>
  </si>
  <si>
    <t>Here I am mentioning all the words found in the first header row so writing a pattern that is first found in the header row is not possible: Measure, part a and part b for Group, measured in £ thousand</t>
  </si>
  <si>
    <t>proportions can be removed from output using col_with_values_to_drop = "style_format", values_to_drop = "(?i)per.*cent", exclude_from_reserved_word_check = "style_format"</t>
  </si>
  <si>
    <t>vintage can be taken from the column names using: replace_string_from_regex = ["(?i)provisional", "(?i)budget"],  replace_string_to = ["provisional", "budget"]</t>
  </si>
  <si>
    <t>D</t>
  </si>
  <si>
    <t>2022-23 Provisional outturn</t>
  </si>
  <si>
    <t>2023-24 Budget Estimate</t>
  </si>
  <si>
    <t>2022-23 Provisional Outturn - Proportion</t>
  </si>
  <si>
    <t>2023-24 Budget Estimate - Proportion</t>
  </si>
  <si>
    <t>group 1</t>
  </si>
  <si>
    <t>group 2</t>
  </si>
  <si>
    <t>2022-23</t>
  </si>
  <si>
    <t>2023-24</t>
  </si>
  <si>
    <t>Example 6: Using subtables</t>
  </si>
  <si>
    <t>butterflies</t>
  </si>
  <si>
    <t>birds</t>
  </si>
  <si>
    <t>An unknown number of tables (butterflies, birds etc), where all tables need to be processed - splitting into multiple tables is not possible because for that you need to know the number of tables</t>
  </si>
  <si>
    <t>count</t>
  </si>
  <si>
    <t>…of which rows are not uniquely identifiable unless you associate them with the name of the row above. (use extend_row args)</t>
  </si>
  <si>
    <t>In A8 there is some text that we don't care about but is in a place a header is expected, so we need to remove it so it doesn’t become the header. (use metadata_cells_to_remove_regex, and  populated_rows_to_check_for_metadata_to_remove)</t>
  </si>
  <si>
    <t>Hidden text (in white) that we don't want in our output in row 9 (hidden_character_strings_to_remove = true)</t>
  </si>
  <si>
    <t>blank cells all over the place - note the random entry in P17. We don't need to specify anything for this, they will just be removed)</t>
  </si>
  <si>
    <t>Apr</t>
  </si>
  <si>
    <t>May</t>
  </si>
  <si>
    <t>Jun</t>
  </si>
  <si>
    <t>Example 7: Artificially split column names and all sorts of dates</t>
  </si>
  <si>
    <t>Jul</t>
  </si>
  <si>
    <t>Aug</t>
  </si>
  <si>
    <t>Sep</t>
  </si>
  <si>
    <t>Oct</t>
  </si>
  <si>
    <t>Nov</t>
  </si>
  <si>
    <t>Dec</t>
  </si>
  <si>
    <t>2000q2</t>
  </si>
  <si>
    <t>2000q3</t>
  </si>
  <si>
    <t>2001q1</t>
  </si>
  <si>
    <t>Jan</t>
  </si>
  <si>
    <t>Feb</t>
  </si>
  <si>
    <t>Mar</t>
  </si>
  <si>
    <t>ABCD</t>
  </si>
  <si>
    <t>EFGH</t>
  </si>
  <si>
    <t>CDID</t>
  </si>
  <si>
    <t>first item</t>
  </si>
  <si>
    <t>Another</t>
  </si>
  <si>
    <t>(item 1)</t>
  </si>
  <si>
    <t>(item 2)</t>
  </si>
  <si>
    <t>Item 3</t>
  </si>
  <si>
    <t>year and month in separate columns, and year and quarter in the same column</t>
  </si>
  <si>
    <t>One table (not two because the one at the bottom does not have column names)</t>
  </si>
  <si>
    <t>year in the top table needs filling in for all but the top instance.</t>
  </si>
  <si>
    <t>headers have been split over rows instead of using wrap text,</t>
  </si>
  <si>
    <t>Example 5: Unwanted proportions; vintage in the headers; and an unwanted left block column</t>
  </si>
  <si>
    <t>comparable cell in previous</t>
  </si>
  <si>
    <t>A7</t>
  </si>
  <si>
    <t>A8</t>
  </si>
  <si>
    <t>A12</t>
  </si>
  <si>
    <t>A13</t>
  </si>
  <si>
    <t>A15</t>
  </si>
  <si>
    <t>comparable cell in previous is not wanted and can be removed using left_cols_to_remove_regex</t>
  </si>
  <si>
    <t>Measure 2</t>
  </si>
  <si>
    <t>Measure 3</t>
  </si>
  <si>
    <t>Unlikely situation - but where a lot of the values in the first column are suppresed, the code may need 'tolerance' to be specified in order to correctly identify the numeric column</t>
  </si>
  <si>
    <t>Table 1 is the most straightforward, with nothing extra going on</t>
  </si>
  <si>
    <t>Table 2 has 2 columns of row names (2 descriptor columns)</t>
  </si>
  <si>
    <t>Table 3 has an unnamed character column to the right of the data that holds notes information. It also has year as a column heading.</t>
  </si>
  <si>
    <t>code</t>
  </si>
  <si>
    <t>set1</t>
  </si>
  <si>
    <t>set2</t>
  </si>
  <si>
    <t>set3</t>
  </si>
  <si>
    <t>Total group A</t>
  </si>
  <si>
    <t>set 1</t>
  </si>
  <si>
    <t>Total group B</t>
  </si>
  <si>
    <t>Suppressed value in C12. We don't need to do anything about this as it will just not be seen as a value.</t>
  </si>
  <si>
    <t>set 1 and set 2 cannot be uniquely identified unless they are associated with the total below them (can use the args 'name_for_total_column', 'col_with_totals_pattern', and 'total_column_fill_dir')</t>
  </si>
  <si>
    <t>The group number is given as the first item in the table, but it doesn't have a number in the value columns - 
To associate this text with the rows below it you can can use the args col_with_row_headers_pattern, name_for_group_row_column, name_for_nested_row_column, row_header_fill_dir, and group_row_na_identifier</t>
  </si>
  <si>
    <t>Example 8: Lots of suppressed (non numeric) values; vintage in the same column as year</t>
  </si>
  <si>
    <t>provisional data 2023-24</t>
  </si>
  <si>
    <t>vintage is in the same column as the year and we want them in separate columns</t>
  </si>
  <si>
    <t>forecast data 2024-25</t>
  </si>
  <si>
    <t>actual 2022-23</t>
  </si>
  <si>
    <t>the words used to indicate vintage are not the standard words so need replacing.</t>
  </si>
  <si>
    <t>measure 1 2022-23</t>
  </si>
  <si>
    <t>measure 1 2023-24</t>
  </si>
  <si>
    <t>England</t>
  </si>
  <si>
    <t>Country</t>
  </si>
  <si>
    <t>Region</t>
  </si>
  <si>
    <t>SW</t>
  </si>
  <si>
    <t>Where year is in a descriptor, we may want to replace it with e.g. 'current year' or 'previous year'</t>
  </si>
  <si>
    <t>Region has a blank - could fill it with the value in country using col_with_blanks_to_replace and col_to_replace_blanks_with</t>
  </si>
  <si>
    <t>description A</t>
  </si>
  <si>
    <t>-</t>
  </si>
  <si>
    <t>GROUP A</t>
  </si>
  <si>
    <t>column E is blank but falls under the header 'Group A'. col_pattern_to_drop_NA_rows can be used to deal with issues this causes</t>
  </si>
  <si>
    <t>source</t>
  </si>
  <si>
    <t>The column headers are years - in table 1 they are chanracter strings, in table 2 they are formatted as dates - table 1 is financial basis, table 2 is calendar basis</t>
  </si>
  <si>
    <t>Example 2: years as column names (one table financial, one calendar), and where some row names that refer to the row name above</t>
  </si>
  <si>
    <t>_of which x</t>
  </si>
  <si>
    <t>_of which y</t>
  </si>
  <si>
    <t>If we want to keep the table headings, we have to set them as being the first header row, and then specify the header row identifier for the subtables.</t>
  </si>
  <si>
    <t>Example 1: metadata in title (2023-24, £ thousand, provisional data), multiple header rows; hidden text; totals information needs to be associated with descriptors above them</t>
  </si>
  <si>
    <t>Table 1: counts</t>
  </si>
  <si>
    <t>Table 2: diet</t>
  </si>
  <si>
    <t>herbivore</t>
  </si>
  <si>
    <t>insectivore</t>
  </si>
  <si>
    <t>Desc of</t>
  </si>
  <si>
    <t>desc</t>
  </si>
  <si>
    <t>2001q4</t>
  </si>
  <si>
    <t>Example 9: year is mentioned in headers, where current year is 2023-24; filling blanks in column with values from another</t>
  </si>
  <si>
    <t>description A' is duplicated. We can use the 'rename_duplicate' arguments to make these uniquely identifiable.</t>
  </si>
  <si>
    <t>Group 1</t>
  </si>
  <si>
    <t>Group 2</t>
  </si>
  <si>
    <t>...of which x</t>
  </si>
  <si>
    <t>Example</t>
  </si>
  <si>
    <t>Two rows of headers, and some non-unique row names that refer to the row name above</t>
  </si>
  <si>
    <t>address</t>
  </si>
  <si>
    <t>value</t>
  </si>
  <si>
    <t>description_2</t>
  </si>
  <si>
    <t>description_1</t>
  </si>
  <si>
    <t>title</t>
  </si>
  <si>
    <t>vintage</t>
  </si>
  <si>
    <t>year_type</t>
  </si>
  <si>
    <t>C6</t>
  </si>
  <si>
    <t>Group 1</t>
  </si>
  <si>
    <t>final</t>
  </si>
  <si>
    <t>financial</t>
  </si>
  <si>
    <t>D6</t>
  </si>
  <si>
    <t>E6</t>
  </si>
  <si>
    <t>Group 2</t>
  </si>
  <si>
    <t>F6</t>
  </si>
  <si>
    <t>C7</t>
  </si>
  <si>
    <t>A ...of which x</t>
  </si>
  <si>
    <t>D7</t>
  </si>
  <si>
    <t>E7</t>
  </si>
  <si>
    <t>F7</t>
  </si>
  <si>
    <t>C8</t>
  </si>
  <si>
    <t>D8</t>
  </si>
  <si>
    <t>E8</t>
  </si>
  <si>
    <t>F8</t>
  </si>
  <si>
    <t>C9</t>
  </si>
  <si>
    <t>B ...of which x</t>
  </si>
  <si>
    <t>D9</t>
  </si>
  <si>
    <t>E9</t>
  </si>
  <si>
    <t>F9</t>
  </si>
  <si>
    <t>Used for readme demo.</t>
  </si>
  <si>
    <t>2021_22</t>
  </si>
  <si>
    <t>2021_2022</t>
  </si>
  <si>
    <t>item 1</t>
  </si>
  <si>
    <t>E</t>
  </si>
  <si>
    <t>notes</t>
  </si>
  <si>
    <t>F</t>
  </si>
  <si>
    <t>1st</t>
  </si>
  <si>
    <t>2nd</t>
  </si>
  <si>
    <t>G</t>
  </si>
  <si>
    <t>Total set 1</t>
  </si>
  <si>
    <t>H</t>
  </si>
  <si>
    <t>Total set 2</t>
  </si>
  <si>
    <t>Example 10 descriptors given in every possible location for a single table - 2023-24</t>
  </si>
  <si>
    <t>There are spaces in D7 - it is not a blank cell so without the refine_blanks function it would lead to column D values having a blank where other values have 'description A' (all values should get a value of 'description A')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</si>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</sst>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"/>
  </numFmts>
  <fonts count="24"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u/>
      <sz val="12"/>
      <color rgb="FF0000FF"/>
      <name val="Arial"/>
      <family val="2"/>
    </font>
    <font>
      <b/>
      <sz val="12"/>
      <color rgb="FF000000"/>
      <name val="Arial"/>
      <family val="2"/>
    </font>
    <font>
      <sz val="12"/>
      <color rgb="FF0000CC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4"/>
      <color theme="1"/>
      <name val="Arial"/>
      <family val="2"/>
    </font>
    <font>
      <u/>
      <sz val="10"/>
      <color indexed="12"/>
      <name val="Arial"/>
      <family val="2"/>
    </font>
    <font>
      <sz val="10"/>
      <name val="Geneva"/>
    </font>
    <font>
      <u/>
      <sz val="10"/>
      <color theme="10"/>
      <name val="Arial"/>
      <family val="2"/>
    </font>
    <font>
      <b/>
      <sz val="15"/>
      <color theme="3"/>
      <name val="Aptos Narrow"/>
      <family val="2"/>
      <scheme val="minor"/>
    </font>
    <font>
      <b/>
      <sz val="14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5"/>
      <color theme="3"/>
      <name val="Arial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B7DEE8"/>
        <bgColor rgb="FFB7DEE8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 style="medium">
        <color rgb="FFD6DADC"/>
      </right>
      <top/>
      <bottom/>
      <diagonal/>
    </border>
  </borders>
  <cellStyleXfs count="19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ont="0" applyBorder="0" applyProtection="0"/>
    <xf numFmtId="0" fontId="11" fillId="0" borderId="0"/>
    <xf numFmtId="0" fontId="4" fillId="0" borderId="0" applyNumberFormat="0" applyFill="0" applyBorder="0" applyAlignment="0" applyProtection="0"/>
    <xf numFmtId="0" fontId="12" fillId="0" borderId="0"/>
    <xf numFmtId="0" fontId="14" fillId="0" borderId="0" applyNumberFormat="0" applyFill="0" applyBorder="0" applyAlignment="0" applyProtection="0">
      <alignment vertical="top"/>
      <protection locked="0"/>
    </xf>
    <xf numFmtId="9" fontId="11" fillId="0" borderId="0" applyFont="0" applyFill="0" applyBorder="0" applyAlignment="0" applyProtection="0"/>
    <xf numFmtId="0" fontId="12" fillId="0" borderId="0"/>
    <xf numFmtId="0" fontId="15" fillId="0" borderId="0"/>
    <xf numFmtId="0" fontId="1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7" fillId="0" borderId="2" applyNumberFormat="0" applyFill="0" applyAlignment="0" applyProtection="0"/>
    <xf numFmtId="9" fontId="21" fillId="0" borderId="0" applyFont="0" applyFill="0" applyBorder="0" applyAlignment="0" applyProtection="0"/>
    <xf numFmtId="0" fontId="22" fillId="0" borderId="2" applyNumberFormat="0" applyFill="0" applyAlignment="0" applyProtection="0"/>
  </cellStyleXfs>
  <cellXfs count="54">
    <xf numFmtId="0" fontId="0" fillId="0" borderId="0" xfId="0"/>
    <xf numFmtId="0" fontId="1" fillId="0" borderId="0" xfId="1"/>
    <xf numFmtId="164" fontId="3" fillId="0" borderId="0" xfId="4" applyNumberFormat="1" applyAlignment="1">
      <alignment horizontal="left"/>
    </xf>
    <xf numFmtId="0" fontId="1" fillId="0" borderId="0" xfId="6" applyFont="1" applyAlignment="1" applyProtection="1">
      <alignment horizontal="left"/>
      <protection hidden="1"/>
    </xf>
    <xf numFmtId="0" fontId="5" fillId="0" borderId="0" xfId="6" applyFont="1" applyAlignment="1">
      <alignment wrapText="1"/>
    </xf>
    <xf numFmtId="0" fontId="5" fillId="0" borderId="0" xfId="6" applyFont="1"/>
    <xf numFmtId="0" fontId="5" fillId="0" borderId="0" xfId="6" applyFont="1" applyAlignment="1">
      <alignment horizontal="right" wrapText="1"/>
    </xf>
    <xf numFmtId="49" fontId="1" fillId="0" borderId="0" xfId="6" applyNumberFormat="1" applyFont="1" applyAlignment="1">
      <alignment horizontal="left"/>
    </xf>
    <xf numFmtId="3" fontId="1" fillId="0" borderId="0" xfId="6" applyNumberFormat="1" applyFont="1" applyAlignment="1">
      <alignment horizontal="right"/>
    </xf>
    <xf numFmtId="49" fontId="5" fillId="0" borderId="0" xfId="6" applyNumberFormat="1" applyFont="1" applyAlignment="1">
      <alignment horizontal="left"/>
    </xf>
    <xf numFmtId="0" fontId="1" fillId="0" borderId="0" xfId="1" applyAlignment="1">
      <alignment wrapText="1"/>
    </xf>
    <xf numFmtId="0" fontId="6" fillId="0" borderId="0" xfId="6" applyFont="1" applyAlignment="1">
      <alignment wrapText="1"/>
    </xf>
    <xf numFmtId="0" fontId="3" fillId="0" borderId="0" xfId="1" applyFont="1"/>
    <xf numFmtId="0" fontId="5" fillId="0" borderId="0" xfId="1" applyFont="1" applyAlignment="1">
      <alignment wrapText="1"/>
    </xf>
    <xf numFmtId="0" fontId="5" fillId="0" borderId="0" xfId="1" applyFont="1" applyAlignment="1">
      <alignment horizontal="right" wrapText="1"/>
    </xf>
    <xf numFmtId="3" fontId="1" fillId="0" borderId="0" xfId="1" applyNumberFormat="1" applyAlignment="1">
      <alignment horizontal="right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/>
    <xf numFmtId="3" fontId="9" fillId="0" borderId="0" xfId="0" applyNumberFormat="1" applyFont="1"/>
    <xf numFmtId="0" fontId="9" fillId="0" borderId="1" xfId="0" applyFont="1" applyBorder="1"/>
    <xf numFmtId="3" fontId="9" fillId="0" borderId="1" xfId="0" applyNumberFormat="1" applyFont="1" applyBorder="1"/>
    <xf numFmtId="14" fontId="5" fillId="0" borderId="0" xfId="1" applyNumberFormat="1" applyFont="1" applyAlignment="1">
      <alignment horizontal="right" wrapText="1"/>
    </xf>
    <xf numFmtId="3" fontId="0" fillId="0" borderId="0" xfId="0" applyNumberFormat="1"/>
    <xf numFmtId="0" fontId="7" fillId="0" borderId="0" xfId="0" applyFont="1"/>
    <xf numFmtId="0" fontId="5" fillId="0" borderId="0" xfId="6" applyFont="1" applyAlignment="1">
      <alignment horizontal="center" vertical="center" wrapText="1"/>
    </xf>
    <xf numFmtId="0" fontId="5" fillId="0" borderId="0" xfId="6" applyFont="1" applyAlignment="1">
      <alignment horizontal="left" wrapText="1"/>
    </xf>
    <xf numFmtId="0" fontId="1" fillId="0" borderId="0" xfId="6" applyFont="1" applyAlignment="1">
      <alignment horizontal="left"/>
    </xf>
    <xf numFmtId="0" fontId="8" fillId="0" borderId="0" xfId="0" applyFont="1"/>
    <xf numFmtId="0" fontId="8" fillId="0" borderId="0" xfId="6" applyFont="1" applyAlignment="1">
      <alignment horizontal="right" wrapText="1"/>
    </xf>
    <xf numFmtId="0" fontId="8" fillId="0" borderId="0" xfId="6" applyFont="1" applyAlignment="1">
      <alignment horizontal="right"/>
    </xf>
    <xf numFmtId="0" fontId="1" fillId="0" borderId="0" xfId="6" applyFont="1"/>
    <xf numFmtId="0" fontId="11" fillId="0" borderId="0" xfId="7"/>
    <xf numFmtId="0" fontId="10" fillId="4" borderId="0" xfId="7" applyFont="1" applyFill="1" applyAlignment="1">
      <alignment vertical="center"/>
    </xf>
    <xf numFmtId="0" fontId="18" fillId="4" borderId="0" xfId="16" applyFont="1" applyFill="1" applyBorder="1" applyAlignment="1">
      <alignment vertical="center"/>
    </xf>
    <xf numFmtId="0" fontId="9" fillId="4" borderId="0" xfId="7" applyFont="1" applyFill="1" applyAlignment="1">
      <alignment horizontal="left" vertical="center"/>
    </xf>
    <xf numFmtId="0" fontId="7" fillId="0" borderId="0" xfId="0" applyFont="1" applyAlignment="1">
      <alignment wrapText="1"/>
    </xf>
    <xf numFmtId="0" fontId="19" fillId="0" borderId="0" xfId="0" applyFont="1"/>
    <xf numFmtId="0" fontId="13" fillId="0" borderId="0" xfId="0" applyFont="1"/>
    <xf numFmtId="0" fontId="20" fillId="0" borderId="0" xfId="0" applyFont="1" applyAlignment="1">
      <alignment horizontal="right" vertical="top"/>
    </xf>
    <xf numFmtId="2" fontId="0" fillId="0" borderId="0" xfId="0" applyNumberFormat="1"/>
    <xf numFmtId="9" fontId="0" fillId="0" borderId="0" xfId="17" applyFont="1"/>
    <xf numFmtId="0" fontId="22" fillId="0" borderId="2" xfId="18"/>
    <xf numFmtId="0" fontId="0" fillId="0" borderId="0" xfId="0" quotePrefix="1"/>
    <xf numFmtId="0" fontId="0" fillId="0" borderId="3" xfId="0" applyBorder="1" applyAlignment="1">
      <alignment horizontal="left" vertical="center"/>
    </xf>
    <xf numFmtId="0" fontId="8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0" fillId="8" borderId="0" xfId="0" applyFill="1"/>
    <xf numFmtId="0" fontId="0" fillId="9" borderId="0" xfId="0" applyFill="1"/>
    <xf numFmtId="0" fontId="1" fillId="0" borderId="0" xfId="1" applyAlignment="1">
      <alignment horizontal="center"/>
    </xf>
    <xf numFmtId="0" fontId="1" fillId="0" borderId="0" xfId="1" applyAlignment="1">
      <alignment horizontal="center" wrapText="1"/>
    </xf>
    <xf numFmtId="0" fontId="5" fillId="0" borderId="0" xfId="6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9">
    <cellStyle name="% 2" xfId="9" xr:uid="{C80FBF6A-6EC3-4082-B929-C02AF612E30E}"/>
    <cellStyle name="20% - Accent5 2" xfId="2" xr:uid="{D472D586-F8DC-448B-A116-E0EF63DFA40C}"/>
    <cellStyle name="40% - Accent5 2" xfId="3" xr:uid="{D1324C43-44CE-4C67-8F35-DD8F88CC3B0E}"/>
    <cellStyle name="Followed Hyperlink" xfId="15" builtinId="9" customBuiltin="1"/>
    <cellStyle name="Heading 1" xfId="18" builtinId="16"/>
    <cellStyle name="Heading 1 2" xfId="4" xr:uid="{7EDC0B57-8235-4283-A301-922BE6D026B8}"/>
    <cellStyle name="Heading 1 3" xfId="16" xr:uid="{2210626D-A12E-439B-9A99-681CE4D2B563}"/>
    <cellStyle name="Hyperlink" xfId="5" xr:uid="{C21E2E68-A457-4F75-83E6-968610649288}"/>
    <cellStyle name="Hyperlink 2" xfId="10" xr:uid="{1CE5A264-3489-4E49-99FD-4DF382F78D49}"/>
    <cellStyle name="Hyperlink 3" xfId="14" xr:uid="{E5BD998C-43E7-47DC-A917-A829D094598D}"/>
    <cellStyle name="Hyperlink 4" xfId="8" xr:uid="{607DD205-E43A-4FA2-A7A2-2FB3B0DC52E9}"/>
    <cellStyle name="Normal" xfId="0" builtinId="0"/>
    <cellStyle name="Normal 2" xfId="6" xr:uid="{1EEB1D23-D9A2-49B3-AF68-DC32AB44F49B}"/>
    <cellStyle name="Normal 3" xfId="1" xr:uid="{A294617C-D1C9-43EF-90A2-45AF262DBFE2}"/>
    <cellStyle name="Normal 3 2" xfId="12" xr:uid="{DAF16DD0-829E-4433-BBD3-8350559900BC}"/>
    <cellStyle name="Normal 4" xfId="7" xr:uid="{2E8B66EE-19E1-4473-BB6A-CFCD9FA0BD14}"/>
    <cellStyle name="Percent" xfId="17" builtinId="5"/>
    <cellStyle name="Percent 2" xfId="11" xr:uid="{A88250A4-2651-4034-A109-645141445276}"/>
    <cellStyle name="Style 1" xfId="13" xr:uid="{2A67D6DC-7AEA-4BBF-8E5C-E1A9C058A4E1}"/>
  </cellStyles>
  <dxfs count="3">
    <dxf>
      <numFmt numFmtId="2" formatCode="0.00"/>
    </dxf>
    <dxf>
      <numFmt numFmtId="2" formatCode="0.0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DB64C-8C21-4662-B4FD-36F6CA65090E}" name="Table1" displayName="Table1" ref="A5:F9" totalsRowShown="0" headerRowDxfId="2">
  <tableColumns count="6">
    <tableColumn id="1" xr3:uid="{FC7F1A68-3E61-4F42-835D-8A78383B1DAB}" name="Group"/>
    <tableColumn id="6" xr3:uid="{18789F1D-A47E-401D-A7C8-A46648E95ABD}" name="comparable cell in previous"/>
    <tableColumn id="2" xr3:uid="{5B43DF05-E0FE-436B-BCD0-A4E5354C6B7A}" name="2022-23 Provisional outturn" dataDxfId="1"/>
    <tableColumn id="3" xr3:uid="{E6B10C77-0EA9-4DF9-AD46-3FF12E96979D}" name="2023-24 Budget Estimate" dataDxfId="0"/>
    <tableColumn id="4" xr3:uid="{2B498A1B-DF91-4D53-B9A3-0806FE4FB73F}" name="2022-23 Provisional Outturn - Proportion" dataCellStyle="Percent"/>
    <tableColumn id="5" xr3:uid="{C24DB74F-6466-4FC9-A23F-D67E0BBDAC22}" name="2023-24 Budget Estimate - Proportion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2350-3FC9-4A16-9BD3-0EB8F46D2BAE}">
  <dimension ref="A1:F14"/>
  <sheetViews>
    <sheetView workbookViewId="0">
      <selection activeCell="H30" sqref="H30"/>
    </sheetView>
  </sheetViews>
  <sheetFormatPr defaultRowHeight="15"/>
  <cols>
    <col min="1" max="1" width="11.6640625" customWidth="1"/>
    <col min="2" max="2" width="12.33203125" customWidth="1"/>
    <col min="12" max="12" width="14.109375" customWidth="1"/>
    <col min="13" max="13" width="12.6640625" customWidth="1"/>
    <col min="17" max="17" width="14.21875" customWidth="1"/>
  </cols>
  <sheetData>
    <row r="1" spans="1:6" ht="20.25">
      <c r="A1" s="12" t="s">
        <v>168</v>
      </c>
      <c r="B1" s="1"/>
      <c r="C1" s="1"/>
      <c r="D1" s="1"/>
    </row>
    <row r="2" spans="1:6">
      <c r="A2" s="1" t="s">
        <v>169</v>
      </c>
      <c r="B2" s="1"/>
      <c r="C2" s="1"/>
      <c r="D2" s="1"/>
    </row>
    <row r="3" spans="1:6">
      <c r="A3" s="1" t="s">
        <v>199</v>
      </c>
      <c r="B3" s="1"/>
      <c r="C3" s="1"/>
      <c r="D3" s="1"/>
    </row>
    <row r="4" spans="1:6">
      <c r="A4" s="1"/>
      <c r="B4" s="1"/>
      <c r="C4" s="1"/>
      <c r="D4" s="1"/>
    </row>
    <row r="5" spans="1:6">
      <c r="B5" s="1"/>
      <c r="C5" s="51" t="s">
        <v>165</v>
      </c>
      <c r="D5" s="51"/>
      <c r="E5" s="50" t="s">
        <v>166</v>
      </c>
      <c r="F5" s="50"/>
    </row>
    <row r="6" spans="1:6" ht="15.75">
      <c r="B6" s="13"/>
      <c r="C6" s="14" t="s">
        <v>18</v>
      </c>
      <c r="D6" s="14" t="s">
        <v>19</v>
      </c>
      <c r="E6" s="14" t="s">
        <v>18</v>
      </c>
      <c r="F6" s="14" t="s">
        <v>19</v>
      </c>
    </row>
    <row r="7" spans="1:6">
      <c r="B7" s="10" t="s">
        <v>20</v>
      </c>
      <c r="C7" s="15">
        <v>1</v>
      </c>
      <c r="D7" s="15">
        <v>5</v>
      </c>
      <c r="E7" s="15">
        <v>9</v>
      </c>
      <c r="F7" s="15">
        <v>13</v>
      </c>
    </row>
    <row r="8" spans="1:6">
      <c r="B8" s="10" t="s">
        <v>167</v>
      </c>
      <c r="C8" s="15">
        <v>2</v>
      </c>
      <c r="D8" s="15">
        <v>6</v>
      </c>
      <c r="E8" s="15">
        <v>10</v>
      </c>
      <c r="F8" s="15">
        <v>14</v>
      </c>
    </row>
    <row r="9" spans="1:6">
      <c r="B9" s="10" t="s">
        <v>21</v>
      </c>
      <c r="C9" s="15">
        <v>3</v>
      </c>
      <c r="D9" s="15">
        <v>7</v>
      </c>
      <c r="E9" s="15">
        <v>11</v>
      </c>
      <c r="F9" s="15">
        <v>15</v>
      </c>
    </row>
    <row r="10" spans="1:6">
      <c r="B10" s="10" t="s">
        <v>167</v>
      </c>
      <c r="C10" s="15">
        <v>4</v>
      </c>
      <c r="D10" s="15">
        <v>8</v>
      </c>
      <c r="E10" s="15">
        <v>12</v>
      </c>
      <c r="F10" s="15">
        <v>16</v>
      </c>
    </row>
    <row r="14" spans="1:6">
      <c r="B14" s="44"/>
    </row>
  </sheetData>
  <mergeCells count="2">
    <mergeCell ref="E5:F5"/>
    <mergeCell ref="C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FE60-9B6B-4865-A61C-C07DF5FD4DB2}">
  <dimension ref="A1:H17"/>
  <sheetViews>
    <sheetView workbookViewId="0">
      <selection activeCell="J23" sqref="J23"/>
    </sheetView>
  </sheetViews>
  <sheetFormatPr defaultRowHeight="15"/>
  <sheetData>
    <row r="1" spans="1:8">
      <c r="A1" t="s">
        <v>170</v>
      </c>
      <c r="B1" t="s">
        <v>171</v>
      </c>
      <c r="C1" t="s">
        <v>173</v>
      </c>
      <c r="D1" t="s">
        <v>172</v>
      </c>
      <c r="E1" t="s">
        <v>27</v>
      </c>
      <c r="F1" t="s">
        <v>174</v>
      </c>
      <c r="G1" t="s">
        <v>175</v>
      </c>
      <c r="H1" t="s">
        <v>176</v>
      </c>
    </row>
    <row r="2" spans="1:8">
      <c r="A2" t="s">
        <v>177</v>
      </c>
      <c r="B2">
        <v>1</v>
      </c>
      <c r="C2" t="s">
        <v>20</v>
      </c>
      <c r="D2" t="s">
        <v>178</v>
      </c>
      <c r="E2" t="s">
        <v>18</v>
      </c>
      <c r="F2" t="s">
        <v>168</v>
      </c>
      <c r="G2" t="s">
        <v>179</v>
      </c>
      <c r="H2" t="s">
        <v>180</v>
      </c>
    </row>
    <row r="3" spans="1:8">
      <c r="A3" t="s">
        <v>181</v>
      </c>
      <c r="B3">
        <v>5</v>
      </c>
      <c r="C3" t="s">
        <v>20</v>
      </c>
      <c r="D3" t="s">
        <v>178</v>
      </c>
      <c r="E3" t="s">
        <v>19</v>
      </c>
      <c r="F3" t="s">
        <v>168</v>
      </c>
      <c r="G3" t="s">
        <v>179</v>
      </c>
      <c r="H3" t="s">
        <v>180</v>
      </c>
    </row>
    <row r="4" spans="1:8">
      <c r="A4" t="s">
        <v>182</v>
      </c>
      <c r="B4">
        <v>9</v>
      </c>
      <c r="C4" t="s">
        <v>20</v>
      </c>
      <c r="D4" t="s">
        <v>183</v>
      </c>
      <c r="E4" t="s">
        <v>18</v>
      </c>
      <c r="F4" t="s">
        <v>168</v>
      </c>
      <c r="G4" t="s">
        <v>179</v>
      </c>
      <c r="H4" t="s">
        <v>180</v>
      </c>
    </row>
    <row r="5" spans="1:8">
      <c r="A5" t="s">
        <v>184</v>
      </c>
      <c r="B5">
        <v>13</v>
      </c>
      <c r="C5" t="s">
        <v>20</v>
      </c>
      <c r="D5" t="s">
        <v>183</v>
      </c>
      <c r="E5" t="s">
        <v>19</v>
      </c>
      <c r="F5" t="s">
        <v>168</v>
      </c>
      <c r="G5" t="s">
        <v>179</v>
      </c>
      <c r="H5" t="s">
        <v>180</v>
      </c>
    </row>
    <row r="6" spans="1:8">
      <c r="A6" t="s">
        <v>185</v>
      </c>
      <c r="B6">
        <v>2</v>
      </c>
      <c r="C6" t="s">
        <v>186</v>
      </c>
      <c r="D6" t="s">
        <v>178</v>
      </c>
      <c r="E6" t="s">
        <v>18</v>
      </c>
      <c r="F6" t="s">
        <v>168</v>
      </c>
      <c r="G6" t="s">
        <v>179</v>
      </c>
      <c r="H6" t="s">
        <v>180</v>
      </c>
    </row>
    <row r="7" spans="1:8">
      <c r="A7" t="s">
        <v>187</v>
      </c>
      <c r="B7">
        <v>6</v>
      </c>
      <c r="C7" t="s">
        <v>186</v>
      </c>
      <c r="D7" t="s">
        <v>178</v>
      </c>
      <c r="E7" t="s">
        <v>19</v>
      </c>
      <c r="F7" t="s">
        <v>168</v>
      </c>
      <c r="G7" t="s">
        <v>179</v>
      </c>
      <c r="H7" t="s">
        <v>180</v>
      </c>
    </row>
    <row r="8" spans="1:8">
      <c r="A8" t="s">
        <v>188</v>
      </c>
      <c r="B8">
        <v>10</v>
      </c>
      <c r="C8" t="s">
        <v>186</v>
      </c>
      <c r="D8" t="s">
        <v>183</v>
      </c>
      <c r="E8" t="s">
        <v>18</v>
      </c>
      <c r="F8" t="s">
        <v>168</v>
      </c>
      <c r="G8" t="s">
        <v>179</v>
      </c>
      <c r="H8" t="s">
        <v>180</v>
      </c>
    </row>
    <row r="9" spans="1:8">
      <c r="A9" t="s">
        <v>189</v>
      </c>
      <c r="B9">
        <v>14</v>
      </c>
      <c r="C9" t="s">
        <v>186</v>
      </c>
      <c r="D9" t="s">
        <v>183</v>
      </c>
      <c r="E9" t="s">
        <v>19</v>
      </c>
      <c r="F9" t="s">
        <v>168</v>
      </c>
      <c r="G9" t="s">
        <v>179</v>
      </c>
      <c r="H9" t="s">
        <v>180</v>
      </c>
    </row>
    <row r="10" spans="1:8">
      <c r="A10" t="s">
        <v>190</v>
      </c>
      <c r="B10">
        <v>3</v>
      </c>
      <c r="C10" t="s">
        <v>21</v>
      </c>
      <c r="D10" t="s">
        <v>178</v>
      </c>
      <c r="E10" t="s">
        <v>18</v>
      </c>
      <c r="F10" t="s">
        <v>168</v>
      </c>
      <c r="G10" t="s">
        <v>179</v>
      </c>
      <c r="H10" t="s">
        <v>180</v>
      </c>
    </row>
    <row r="11" spans="1:8">
      <c r="A11" t="s">
        <v>191</v>
      </c>
      <c r="B11">
        <v>7</v>
      </c>
      <c r="C11" t="s">
        <v>21</v>
      </c>
      <c r="D11" t="s">
        <v>178</v>
      </c>
      <c r="E11" t="s">
        <v>19</v>
      </c>
      <c r="F11" t="s">
        <v>168</v>
      </c>
      <c r="G11" t="s">
        <v>179</v>
      </c>
      <c r="H11" t="s">
        <v>180</v>
      </c>
    </row>
    <row r="12" spans="1:8">
      <c r="A12" t="s">
        <v>192</v>
      </c>
      <c r="B12">
        <v>11</v>
      </c>
      <c r="C12" t="s">
        <v>21</v>
      </c>
      <c r="D12" t="s">
        <v>183</v>
      </c>
      <c r="E12" t="s">
        <v>18</v>
      </c>
      <c r="F12" t="s">
        <v>168</v>
      </c>
      <c r="G12" t="s">
        <v>179</v>
      </c>
      <c r="H12" t="s">
        <v>180</v>
      </c>
    </row>
    <row r="13" spans="1:8">
      <c r="A13" t="s">
        <v>193</v>
      </c>
      <c r="B13">
        <v>15</v>
      </c>
      <c r="C13" t="s">
        <v>21</v>
      </c>
      <c r="D13" t="s">
        <v>183</v>
      </c>
      <c r="E13" t="s">
        <v>19</v>
      </c>
      <c r="F13" t="s">
        <v>168</v>
      </c>
      <c r="G13" t="s">
        <v>179</v>
      </c>
      <c r="H13" t="s">
        <v>180</v>
      </c>
    </row>
    <row r="14" spans="1:8">
      <c r="A14" t="s">
        <v>194</v>
      </c>
      <c r="B14">
        <v>4</v>
      </c>
      <c r="C14" t="s">
        <v>195</v>
      </c>
      <c r="D14" t="s">
        <v>178</v>
      </c>
      <c r="E14" t="s">
        <v>18</v>
      </c>
      <c r="F14" t="s">
        <v>168</v>
      </c>
      <c r="G14" t="s">
        <v>179</v>
      </c>
      <c r="H14" t="s">
        <v>180</v>
      </c>
    </row>
    <row r="15" spans="1:8">
      <c r="A15" t="s">
        <v>196</v>
      </c>
      <c r="B15">
        <v>8</v>
      </c>
      <c r="C15" t="s">
        <v>195</v>
      </c>
      <c r="D15" t="s">
        <v>178</v>
      </c>
      <c r="E15" t="s">
        <v>19</v>
      </c>
      <c r="F15" t="s">
        <v>168</v>
      </c>
      <c r="G15" t="s">
        <v>179</v>
      </c>
      <c r="H15" t="s">
        <v>180</v>
      </c>
    </row>
    <row r="16" spans="1:8">
      <c r="A16" t="s">
        <v>197</v>
      </c>
      <c r="B16">
        <v>12</v>
      </c>
      <c r="C16" t="s">
        <v>195</v>
      </c>
      <c r="D16" t="s">
        <v>183</v>
      </c>
      <c r="E16" t="s">
        <v>18</v>
      </c>
      <c r="F16" t="s">
        <v>168</v>
      </c>
      <c r="G16" t="s">
        <v>179</v>
      </c>
      <c r="H16" t="s">
        <v>180</v>
      </c>
    </row>
    <row r="17" spans="1:8">
      <c r="A17" t="s">
        <v>198</v>
      </c>
      <c r="B17">
        <v>16</v>
      </c>
      <c r="C17" t="s">
        <v>195</v>
      </c>
      <c r="D17" t="s">
        <v>183</v>
      </c>
      <c r="E17" t="s">
        <v>19</v>
      </c>
      <c r="F17" t="s">
        <v>168</v>
      </c>
      <c r="G17" t="s">
        <v>179</v>
      </c>
      <c r="H17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6C09-8892-4B67-A436-338061276EFD}">
  <dimension ref="A1:F16"/>
  <sheetViews>
    <sheetView workbookViewId="0">
      <selection activeCell="A22" sqref="A22"/>
    </sheetView>
  </sheetViews>
  <sheetFormatPr defaultRowHeight="15"/>
  <cols>
    <col min="1" max="1" width="39.88671875" customWidth="1"/>
    <col min="2" max="2" width="23.33203125" customWidth="1"/>
    <col min="3" max="3" width="23.77734375" customWidth="1"/>
    <col min="4" max="4" width="21.6640625" customWidth="1"/>
    <col min="5" max="5" width="13.21875" customWidth="1"/>
  </cols>
  <sheetData>
    <row r="1" spans="1:6" ht="20.25">
      <c r="A1" s="2" t="s">
        <v>0</v>
      </c>
      <c r="B1" s="1"/>
      <c r="C1" s="1"/>
      <c r="D1" s="1"/>
    </row>
    <row r="2" spans="1:6">
      <c r="A2" s="3" t="s">
        <v>33</v>
      </c>
      <c r="B2" s="1"/>
      <c r="C2" s="1"/>
      <c r="D2" s="1"/>
    </row>
    <row r="3" spans="1:6">
      <c r="A3" s="3" t="s">
        <v>32</v>
      </c>
      <c r="B3" s="1"/>
      <c r="C3" s="1"/>
      <c r="D3" s="1"/>
    </row>
    <row r="4" spans="1:6">
      <c r="A4" s="3" t="s">
        <v>57</v>
      </c>
      <c r="B4" s="1"/>
      <c r="C4" s="1"/>
      <c r="D4" s="1"/>
    </row>
    <row r="5" spans="1:6">
      <c r="A5" s="3" t="s">
        <v>58</v>
      </c>
      <c r="B5" s="1"/>
      <c r="C5" s="1"/>
      <c r="D5" s="1"/>
    </row>
    <row r="6" spans="1:6">
      <c r="A6" s="3"/>
      <c r="B6" s="1"/>
      <c r="C6" s="1"/>
      <c r="D6" s="1"/>
    </row>
    <row r="7" spans="1:6">
      <c r="A7" s="3"/>
      <c r="B7" s="1"/>
      <c r="C7" s="1"/>
      <c r="D7" s="1"/>
    </row>
    <row r="8" spans="1:6">
      <c r="A8" s="3" t="s">
        <v>30</v>
      </c>
      <c r="B8" s="1"/>
      <c r="C8" s="1"/>
      <c r="D8" s="1"/>
    </row>
    <row r="9" spans="1:6" ht="31.5">
      <c r="A9" s="4" t="s">
        <v>1</v>
      </c>
      <c r="B9" s="1"/>
      <c r="C9" s="1"/>
      <c r="D9" s="1"/>
    </row>
    <row r="10" spans="1:6" ht="47.25">
      <c r="A10" s="5" t="s">
        <v>10</v>
      </c>
      <c r="B10" s="6" t="s">
        <v>2</v>
      </c>
      <c r="C10" s="6" t="s">
        <v>3</v>
      </c>
      <c r="D10" s="6" t="s">
        <v>4</v>
      </c>
      <c r="E10" s="6" t="s">
        <v>31</v>
      </c>
      <c r="F10" s="11" t="s">
        <v>121</v>
      </c>
    </row>
    <row r="11" spans="1:6">
      <c r="A11" s="7" t="s">
        <v>5</v>
      </c>
      <c r="B11" s="8">
        <v>10</v>
      </c>
      <c r="C11" s="8">
        <v>1</v>
      </c>
      <c r="D11" s="8">
        <v>11</v>
      </c>
      <c r="E11" s="8">
        <v>30</v>
      </c>
      <c r="F11" s="11" t="s">
        <v>12</v>
      </c>
    </row>
    <row r="12" spans="1:6">
      <c r="A12" s="7" t="s">
        <v>6</v>
      </c>
      <c r="B12" s="8">
        <v>20</v>
      </c>
      <c r="C12" s="8">
        <v>2</v>
      </c>
      <c r="D12" s="8">
        <v>22</v>
      </c>
      <c r="E12" s="8">
        <v>40</v>
      </c>
      <c r="F12" s="11" t="s">
        <v>13</v>
      </c>
    </row>
    <row r="13" spans="1:6">
      <c r="A13" s="7" t="s">
        <v>7</v>
      </c>
      <c r="B13" s="8">
        <v>30</v>
      </c>
      <c r="C13" s="8">
        <v>3</v>
      </c>
      <c r="D13" s="8">
        <v>33</v>
      </c>
      <c r="E13" s="8">
        <v>50</v>
      </c>
      <c r="F13" s="11" t="s">
        <v>14</v>
      </c>
    </row>
    <row r="14" spans="1:6">
      <c r="A14" s="7" t="s">
        <v>8</v>
      </c>
      <c r="B14" s="8">
        <v>40</v>
      </c>
      <c r="C14" s="8">
        <v>4</v>
      </c>
      <c r="D14" s="8">
        <v>44</v>
      </c>
      <c r="E14" s="8">
        <v>60</v>
      </c>
      <c r="F14" s="11" t="s">
        <v>15</v>
      </c>
    </row>
    <row r="15" spans="1:6" ht="15.75">
      <c r="A15" s="9" t="s">
        <v>9</v>
      </c>
      <c r="B15" s="8">
        <v>100</v>
      </c>
      <c r="C15" s="8">
        <v>10</v>
      </c>
      <c r="D15" s="8">
        <v>110</v>
      </c>
      <c r="E15" s="23">
        <f>SUM(E11:E14)</f>
        <v>180</v>
      </c>
      <c r="F15" s="11" t="s">
        <v>16</v>
      </c>
    </row>
    <row r="16" spans="1:6" ht="15.75">
      <c r="A16" s="9"/>
      <c r="B16" s="11" t="s">
        <v>11</v>
      </c>
      <c r="C16" s="11" t="s">
        <v>11</v>
      </c>
      <c r="D16" s="1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A5631-8A8B-4394-8AE5-5EEF34362AE4}">
  <dimension ref="A1:G13"/>
  <sheetViews>
    <sheetView workbookViewId="0">
      <selection activeCell="E25" sqref="E25"/>
    </sheetView>
  </sheetViews>
  <sheetFormatPr defaultRowHeight="15"/>
  <cols>
    <col min="1" max="1" width="19" customWidth="1"/>
    <col min="5" max="5" width="11.21875" customWidth="1"/>
    <col min="6" max="7" width="9.88671875" bestFit="1" customWidth="1"/>
  </cols>
  <sheetData>
    <row r="1" spans="1:7" ht="20.25">
      <c r="A1" s="12" t="s">
        <v>151</v>
      </c>
      <c r="B1" s="1"/>
      <c r="C1" s="1"/>
    </row>
    <row r="2" spans="1:7">
      <c r="A2" s="1" t="s">
        <v>34</v>
      </c>
      <c r="B2" s="1"/>
      <c r="C2" s="1"/>
    </row>
    <row r="3" spans="1:7">
      <c r="A3" s="1" t="s">
        <v>150</v>
      </c>
      <c r="B3" s="1"/>
      <c r="C3" s="1"/>
    </row>
    <row r="4" spans="1:7">
      <c r="A4" s="1" t="s">
        <v>75</v>
      </c>
      <c r="B4" s="1"/>
      <c r="C4" s="1"/>
    </row>
    <row r="5" spans="1:7">
      <c r="A5" s="1"/>
      <c r="B5" s="1"/>
      <c r="C5" s="1"/>
    </row>
    <row r="6" spans="1:7">
      <c r="A6" s="1" t="s">
        <v>29</v>
      </c>
      <c r="B6" s="1"/>
      <c r="C6" s="1"/>
      <c r="E6" t="s">
        <v>28</v>
      </c>
    </row>
    <row r="7" spans="1:7" ht="15.75">
      <c r="A7" s="13" t="s">
        <v>149</v>
      </c>
      <c r="B7" s="14" t="s">
        <v>18</v>
      </c>
      <c r="C7" s="14" t="s">
        <v>19</v>
      </c>
      <c r="E7" s="13" t="s">
        <v>17</v>
      </c>
      <c r="F7" s="22">
        <v>45658</v>
      </c>
      <c r="G7" s="22">
        <v>45717</v>
      </c>
    </row>
    <row r="8" spans="1:7">
      <c r="A8" s="10" t="s">
        <v>20</v>
      </c>
      <c r="B8" s="15">
        <v>10</v>
      </c>
      <c r="C8" s="15">
        <v>11</v>
      </c>
      <c r="E8" s="10" t="s">
        <v>20</v>
      </c>
      <c r="F8" s="15">
        <v>10</v>
      </c>
      <c r="G8" s="15">
        <v>11</v>
      </c>
    </row>
    <row r="9" spans="1:7">
      <c r="A9" s="10" t="s">
        <v>152</v>
      </c>
      <c r="B9" s="15">
        <v>5</v>
      </c>
      <c r="C9" s="15">
        <v>5</v>
      </c>
      <c r="E9" s="10" t="s">
        <v>152</v>
      </c>
      <c r="F9" s="15">
        <v>5</v>
      </c>
      <c r="G9" s="15">
        <v>5</v>
      </c>
    </row>
    <row r="10" spans="1:7">
      <c r="A10" s="10" t="s">
        <v>21</v>
      </c>
      <c r="B10" s="15">
        <v>20</v>
      </c>
      <c r="C10" s="15">
        <v>32</v>
      </c>
      <c r="E10" s="10" t="s">
        <v>21</v>
      </c>
      <c r="F10" s="15">
        <v>20</v>
      </c>
      <c r="G10" s="15">
        <v>32</v>
      </c>
    </row>
    <row r="11" spans="1:7">
      <c r="A11" s="10" t="s">
        <v>152</v>
      </c>
      <c r="B11" s="15">
        <v>10</v>
      </c>
      <c r="C11" s="15">
        <v>20</v>
      </c>
      <c r="E11" s="10" t="s">
        <v>152</v>
      </c>
      <c r="F11" s="15">
        <v>10</v>
      </c>
      <c r="G11" s="15">
        <v>20</v>
      </c>
    </row>
    <row r="12" spans="1:7">
      <c r="A12" s="10" t="s">
        <v>153</v>
      </c>
      <c r="B12" s="15">
        <v>10</v>
      </c>
      <c r="C12" s="15">
        <v>12</v>
      </c>
      <c r="E12" s="10" t="s">
        <v>153</v>
      </c>
      <c r="F12" s="15">
        <v>10</v>
      </c>
      <c r="G12" s="15">
        <v>12</v>
      </c>
    </row>
    <row r="13" spans="1:7">
      <c r="A13" s="10" t="s">
        <v>22</v>
      </c>
      <c r="B13" s="15">
        <v>56</v>
      </c>
      <c r="C13" s="15">
        <v>56</v>
      </c>
      <c r="E13" s="10" t="s">
        <v>22</v>
      </c>
      <c r="F13" s="15">
        <v>56</v>
      </c>
      <c r="G13" s="15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D49F-26FB-4041-98FA-71B10D10213D}">
  <dimension ref="A1:H19"/>
  <sheetViews>
    <sheetView workbookViewId="0">
      <selection activeCell="F25" sqref="F25"/>
    </sheetView>
  </sheetViews>
  <sheetFormatPr defaultRowHeight="15"/>
  <cols>
    <col min="2" max="2" width="12.6640625" customWidth="1"/>
    <col min="3" max="3" width="13.109375" customWidth="1"/>
    <col min="5" max="5" width="12.109375" customWidth="1"/>
    <col min="6" max="6" width="10.88671875" customWidth="1"/>
    <col min="7" max="7" width="10.88671875" bestFit="1" customWidth="1"/>
  </cols>
  <sheetData>
    <row r="1" spans="1:8" ht="20.25">
      <c r="A1" s="12" t="s">
        <v>35</v>
      </c>
    </row>
    <row r="2" spans="1:8">
      <c r="A2" t="s">
        <v>37</v>
      </c>
    </row>
    <row r="3" spans="1:8">
      <c r="A3" t="s">
        <v>154</v>
      </c>
    </row>
    <row r="4" spans="1:8">
      <c r="A4" t="s">
        <v>118</v>
      </c>
    </row>
    <row r="5" spans="1:8">
      <c r="A5" t="s">
        <v>119</v>
      </c>
    </row>
    <row r="6" spans="1:8">
      <c r="A6" t="s">
        <v>120</v>
      </c>
    </row>
    <row r="8" spans="1:8" ht="15.75">
      <c r="B8" s="24" t="s">
        <v>36</v>
      </c>
      <c r="F8" s="24" t="s">
        <v>39</v>
      </c>
    </row>
    <row r="9" spans="1:8">
      <c r="B9" s="16" t="s">
        <v>27</v>
      </c>
      <c r="C9" s="17" t="s">
        <v>20</v>
      </c>
      <c r="F9" s="16" t="s">
        <v>10</v>
      </c>
      <c r="G9" s="17" t="s">
        <v>24</v>
      </c>
    </row>
    <row r="10" spans="1:8">
      <c r="B10" s="18" t="s">
        <v>23</v>
      </c>
      <c r="C10" s="19">
        <v>100</v>
      </c>
      <c r="F10" s="18" t="s">
        <v>20</v>
      </c>
      <c r="G10" s="19">
        <v>200</v>
      </c>
    </row>
    <row r="11" spans="1:8" ht="15.75">
      <c r="B11" s="20" t="s">
        <v>201</v>
      </c>
      <c r="C11" s="21">
        <v>200</v>
      </c>
      <c r="F11" s="20" t="s">
        <v>21</v>
      </c>
      <c r="G11" s="21">
        <v>150</v>
      </c>
      <c r="H11" s="24" t="s">
        <v>25</v>
      </c>
    </row>
    <row r="12" spans="1:8" ht="15.75">
      <c r="F12" s="24" t="s">
        <v>26</v>
      </c>
    </row>
    <row r="16" spans="1:8" ht="15.75">
      <c r="B16" s="24" t="s">
        <v>38</v>
      </c>
    </row>
    <row r="17" spans="2:4">
      <c r="B17" s="16" t="s">
        <v>10</v>
      </c>
      <c r="C17" t="s">
        <v>40</v>
      </c>
      <c r="D17" s="17" t="s">
        <v>200</v>
      </c>
    </row>
    <row r="18" spans="2:4">
      <c r="B18" s="18" t="s">
        <v>20</v>
      </c>
      <c r="C18" t="s">
        <v>41</v>
      </c>
      <c r="D18" s="19">
        <v>200</v>
      </c>
    </row>
    <row r="19" spans="2:4">
      <c r="B19" s="20" t="s">
        <v>20</v>
      </c>
      <c r="C19" s="20" t="s">
        <v>42</v>
      </c>
      <c r="D19" s="2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F5B1-5B75-440F-BCD2-E94C185D352A}">
  <dimension ref="A1:P18"/>
  <sheetViews>
    <sheetView workbookViewId="0">
      <selection activeCell="I9" sqref="I9"/>
    </sheetView>
  </sheetViews>
  <sheetFormatPr defaultRowHeight="15"/>
  <cols>
    <col min="1" max="1" width="22" customWidth="1"/>
    <col min="2" max="2" width="11.21875" customWidth="1"/>
    <col min="3" max="3" width="11.6640625" customWidth="1"/>
    <col min="4" max="4" width="13.6640625" customWidth="1"/>
    <col min="5" max="5" width="4" customWidth="1"/>
    <col min="6" max="6" width="14.88671875" customWidth="1"/>
  </cols>
  <sheetData>
    <row r="1" spans="1:7" ht="20.25">
      <c r="A1" s="2" t="s">
        <v>155</v>
      </c>
    </row>
    <row r="2" spans="1:7">
      <c r="A2" t="s">
        <v>55</v>
      </c>
    </row>
    <row r="3" spans="1:7">
      <c r="A3" s="27" t="s">
        <v>78</v>
      </c>
    </row>
    <row r="4" spans="1:7">
      <c r="A4" t="s">
        <v>77</v>
      </c>
    </row>
    <row r="5" spans="1:7">
      <c r="A5" s="31" t="s">
        <v>76</v>
      </c>
    </row>
    <row r="6" spans="1:7">
      <c r="A6" t="s">
        <v>128</v>
      </c>
    </row>
    <row r="7" spans="1:7">
      <c r="A7" t="s">
        <v>129</v>
      </c>
    </row>
    <row r="8" spans="1:7" ht="47.25" customHeight="1">
      <c r="A8" s="5" t="s">
        <v>10</v>
      </c>
      <c r="B8" s="52" t="s">
        <v>46</v>
      </c>
      <c r="C8" s="52"/>
      <c r="D8" s="52"/>
      <c r="E8" s="25"/>
      <c r="F8" s="26" t="s">
        <v>45</v>
      </c>
    </row>
    <row r="9" spans="1:7" ht="15.75">
      <c r="A9" s="31" t="s">
        <v>56</v>
      </c>
      <c r="B9" s="6" t="s">
        <v>43</v>
      </c>
      <c r="C9" s="6" t="s">
        <v>44</v>
      </c>
      <c r="D9" s="6" t="s">
        <v>47</v>
      </c>
      <c r="E9" s="6"/>
      <c r="F9" s="6"/>
    </row>
    <row r="10" spans="1:7" ht="15.75">
      <c r="A10" s="5"/>
      <c r="B10" s="28" t="s">
        <v>49</v>
      </c>
      <c r="C10" s="29" t="s">
        <v>50</v>
      </c>
      <c r="D10" s="29" t="s">
        <v>51</v>
      </c>
      <c r="E10" s="30" t="s">
        <v>52</v>
      </c>
      <c r="F10" s="29" t="s">
        <v>53</v>
      </c>
      <c r="G10" s="28"/>
    </row>
    <row r="11" spans="1:7">
      <c r="A11" s="7" t="s">
        <v>122</v>
      </c>
      <c r="B11" s="8">
        <v>10</v>
      </c>
      <c r="C11" s="8">
        <v>0</v>
      </c>
      <c r="D11" s="8">
        <v>10</v>
      </c>
      <c r="E11" s="8"/>
      <c r="F11" s="8">
        <v>40</v>
      </c>
    </row>
    <row r="12" spans="1:7">
      <c r="A12" s="7" t="s">
        <v>123</v>
      </c>
      <c r="B12" s="8">
        <v>20</v>
      </c>
      <c r="C12" s="8" t="s">
        <v>54</v>
      </c>
      <c r="D12" s="8">
        <v>20</v>
      </c>
      <c r="E12" s="8"/>
      <c r="F12" s="8">
        <v>50</v>
      </c>
    </row>
    <row r="13" spans="1:7">
      <c r="A13" s="7" t="s">
        <v>124</v>
      </c>
      <c r="B13" s="8">
        <v>30</v>
      </c>
      <c r="C13" s="8">
        <v>1</v>
      </c>
      <c r="D13" s="8">
        <v>31</v>
      </c>
      <c r="E13" s="8"/>
      <c r="F13" s="8">
        <v>60</v>
      </c>
    </row>
    <row r="14" spans="1:7">
      <c r="A14" s="7" t="s">
        <v>125</v>
      </c>
      <c r="B14" s="8">
        <v>60</v>
      </c>
      <c r="C14">
        <v>1</v>
      </c>
      <c r="D14" s="8">
        <v>61</v>
      </c>
      <c r="F14" s="8">
        <v>150</v>
      </c>
    </row>
    <row r="15" spans="1:7">
      <c r="A15" s="7" t="s">
        <v>126</v>
      </c>
      <c r="B15" s="8">
        <v>40</v>
      </c>
      <c r="C15" s="8">
        <v>2</v>
      </c>
      <c r="D15" s="8">
        <v>42</v>
      </c>
      <c r="F15" s="8">
        <v>10</v>
      </c>
    </row>
    <row r="16" spans="1:7">
      <c r="A16" s="7" t="s">
        <v>127</v>
      </c>
      <c r="B16" s="8">
        <v>40</v>
      </c>
      <c r="C16" s="8">
        <v>2</v>
      </c>
      <c r="D16" s="8">
        <v>42</v>
      </c>
      <c r="F16" s="8">
        <v>10</v>
      </c>
    </row>
    <row r="18" spans="16:16">
      <c r="P18" t="s">
        <v>48</v>
      </c>
    </row>
  </sheetData>
  <mergeCells count="1">
    <mergeCell ref="B8:D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B59E-6DC3-4942-9160-730FC61B2EF4}">
  <dimension ref="A1:N10"/>
  <sheetViews>
    <sheetView workbookViewId="0">
      <selection activeCell="C24" sqref="C24"/>
    </sheetView>
  </sheetViews>
  <sheetFormatPr defaultRowHeight="15"/>
  <cols>
    <col min="1" max="1" width="29.6640625" customWidth="1"/>
    <col min="2" max="2" width="27.6640625" customWidth="1"/>
    <col min="3" max="3" width="25.109375" customWidth="1"/>
    <col min="4" max="4" width="23.77734375" customWidth="1"/>
    <col min="5" max="5" width="22.33203125" customWidth="1"/>
    <col min="6" max="6" width="25.5546875" customWidth="1"/>
  </cols>
  <sheetData>
    <row r="1" spans="1:14" ht="18">
      <c r="A1" s="34" t="s">
        <v>107</v>
      </c>
      <c r="B1" s="34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5.75">
      <c r="A2" s="35" t="s">
        <v>59</v>
      </c>
      <c r="B2" s="35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4" ht="15.75">
      <c r="A3" s="35" t="s">
        <v>60</v>
      </c>
      <c r="B3" s="35"/>
      <c r="C3" s="32"/>
      <c r="D3" s="33"/>
      <c r="E3" s="33"/>
      <c r="F3" s="33"/>
      <c r="G3" s="33"/>
      <c r="H3" s="33"/>
      <c r="I3" s="33"/>
      <c r="J3" s="33"/>
      <c r="K3" s="32"/>
      <c r="L3" s="32"/>
      <c r="M3" s="32"/>
    </row>
    <row r="4" spans="1:14" ht="15.75">
      <c r="A4" t="s">
        <v>114</v>
      </c>
      <c r="H4" s="32"/>
      <c r="I4" s="32"/>
      <c r="J4" s="32"/>
      <c r="K4" s="32"/>
      <c r="L4" s="32"/>
      <c r="M4" s="32"/>
    </row>
    <row r="5" spans="1:14" s="24" customFormat="1" ht="31.5">
      <c r="A5" s="24" t="s">
        <v>10</v>
      </c>
      <c r="B5" s="24" t="s">
        <v>108</v>
      </c>
      <c r="C5" s="36" t="s">
        <v>62</v>
      </c>
      <c r="D5" s="36" t="s">
        <v>63</v>
      </c>
      <c r="E5" s="36" t="s">
        <v>64</v>
      </c>
      <c r="F5" s="36" t="s">
        <v>65</v>
      </c>
      <c r="G5"/>
      <c r="H5"/>
      <c r="I5"/>
      <c r="J5"/>
      <c r="K5"/>
      <c r="L5"/>
      <c r="M5"/>
      <c r="N5"/>
    </row>
    <row r="6" spans="1:14">
      <c r="A6" t="s">
        <v>20</v>
      </c>
      <c r="B6" t="s">
        <v>109</v>
      </c>
      <c r="C6" s="40">
        <v>8662.5890600000002</v>
      </c>
      <c r="D6" s="40">
        <v>8621.3539586896804</v>
      </c>
      <c r="E6" s="41">
        <v>0.61066306671313297</v>
      </c>
      <c r="F6" s="41">
        <v>0.59074942495558025</v>
      </c>
    </row>
    <row r="7" spans="1:14">
      <c r="A7" t="s">
        <v>21</v>
      </c>
      <c r="B7" t="s">
        <v>110</v>
      </c>
      <c r="C7" s="40">
        <v>2766.08</v>
      </c>
      <c r="D7" s="40">
        <v>3044.1970000000001</v>
      </c>
      <c r="E7" s="41">
        <v>0.19499284611959447</v>
      </c>
      <c r="F7" s="41">
        <v>0.20859341071235016</v>
      </c>
    </row>
    <row r="8" spans="1:14">
      <c r="A8" t="s">
        <v>22</v>
      </c>
      <c r="B8" t="s">
        <v>111</v>
      </c>
      <c r="C8" s="40">
        <v>2752.0839999999998</v>
      </c>
      <c r="D8" s="40">
        <v>2922.1729999999998</v>
      </c>
      <c r="E8" s="41">
        <v>0.19400620803454638</v>
      </c>
      <c r="F8" s="41">
        <v>0.20023212451807171</v>
      </c>
    </row>
    <row r="9" spans="1:14">
      <c r="A9" t="s">
        <v>61</v>
      </c>
      <c r="B9" t="s">
        <v>112</v>
      </c>
      <c r="C9" s="40">
        <v>4.7930000000000001</v>
      </c>
      <c r="D9" s="40">
        <v>6.2030000000000003</v>
      </c>
      <c r="E9" s="41">
        <v>3.3787913272617437E-4</v>
      </c>
      <c r="F9" s="41">
        <v>4.2503981399650154E-4</v>
      </c>
    </row>
    <row r="10" spans="1:14">
      <c r="A10" t="s">
        <v>9</v>
      </c>
      <c r="B10" t="s">
        <v>113</v>
      </c>
      <c r="C10" s="40">
        <v>14185.546060000001</v>
      </c>
      <c r="D10" s="40">
        <v>14593.926958689701</v>
      </c>
      <c r="E10" s="41">
        <v>1</v>
      </c>
      <c r="F10" s="41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9578-77D1-4986-A64E-11C06B3659FB}">
  <dimension ref="A1:C20"/>
  <sheetViews>
    <sheetView workbookViewId="0">
      <selection activeCell="G17" sqref="G17"/>
    </sheetView>
  </sheetViews>
  <sheetFormatPr defaultRowHeight="15"/>
  <cols>
    <col min="1" max="1" width="16.21875" customWidth="1"/>
  </cols>
  <sheetData>
    <row r="1" spans="1:3" ht="18">
      <c r="A1" s="34" t="s">
        <v>70</v>
      </c>
    </row>
    <row r="2" spans="1:3">
      <c r="A2" t="s">
        <v>73</v>
      </c>
    </row>
    <row r="3" spans="1:3" ht="20.45" customHeight="1">
      <c r="A3" t="s">
        <v>130</v>
      </c>
    </row>
    <row r="5" spans="1:3" ht="20.25" thickBot="1">
      <c r="A5" s="42" t="s">
        <v>156</v>
      </c>
    </row>
    <row r="6" spans="1:3" s="38" customFormat="1" ht="35.25" customHeight="1" thickTop="1">
      <c r="A6" s="37" t="s">
        <v>71</v>
      </c>
      <c r="C6" s="39" t="s">
        <v>74</v>
      </c>
    </row>
    <row r="7" spans="1:3" ht="15.75">
      <c r="A7" s="24" t="s">
        <v>10</v>
      </c>
      <c r="B7" s="24" t="s">
        <v>68</v>
      </c>
      <c r="C7" s="24" t="s">
        <v>69</v>
      </c>
    </row>
    <row r="8" spans="1:3">
      <c r="A8" t="s">
        <v>66</v>
      </c>
    </row>
    <row r="9" spans="1:3">
      <c r="A9" t="s">
        <v>41</v>
      </c>
      <c r="B9">
        <v>100</v>
      </c>
      <c r="C9">
        <v>110</v>
      </c>
    </row>
    <row r="10" spans="1:3">
      <c r="A10" t="s">
        <v>67</v>
      </c>
    </row>
    <row r="11" spans="1:3">
      <c r="A11" t="s">
        <v>41</v>
      </c>
      <c r="B11">
        <v>20</v>
      </c>
      <c r="C11">
        <v>22</v>
      </c>
    </row>
    <row r="12" spans="1:3" ht="33" customHeight="1">
      <c r="A12" s="37" t="s">
        <v>72</v>
      </c>
      <c r="C12" s="39"/>
    </row>
    <row r="13" spans="1:3" ht="15.75">
      <c r="A13" s="24" t="s">
        <v>10</v>
      </c>
      <c r="B13" s="24" t="s">
        <v>68</v>
      </c>
      <c r="C13" s="24" t="s">
        <v>69</v>
      </c>
    </row>
    <row r="14" spans="1:3">
      <c r="A14" t="s">
        <v>66</v>
      </c>
    </row>
    <row r="15" spans="1:3">
      <c r="A15" t="s">
        <v>41</v>
      </c>
      <c r="B15">
        <v>50</v>
      </c>
      <c r="C15">
        <v>54</v>
      </c>
    </row>
    <row r="16" spans="1:3">
      <c r="A16" t="s">
        <v>42</v>
      </c>
      <c r="B16">
        <v>100</v>
      </c>
      <c r="C16">
        <v>104</v>
      </c>
    </row>
    <row r="18" spans="1:3" ht="20.25" thickBot="1">
      <c r="A18" s="42" t="s">
        <v>157</v>
      </c>
    </row>
    <row r="19" spans="1:3" ht="16.5" thickTop="1">
      <c r="B19" s="24" t="s">
        <v>159</v>
      </c>
      <c r="C19" s="24" t="s">
        <v>158</v>
      </c>
    </row>
    <row r="20" spans="1:3">
      <c r="A20" t="s">
        <v>74</v>
      </c>
      <c r="B20">
        <v>50</v>
      </c>
      <c r="C20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11F3-0143-4CD6-8E8C-CF04959145E6}">
  <dimension ref="A1:F32"/>
  <sheetViews>
    <sheetView topLeftCell="A5" workbookViewId="0">
      <selection activeCell="I25" sqref="I25"/>
    </sheetView>
  </sheetViews>
  <sheetFormatPr defaultRowHeight="15"/>
  <cols>
    <col min="3" max="3" width="19.5546875" customWidth="1"/>
    <col min="4" max="4" width="10" customWidth="1"/>
    <col min="11" max="11" width="11.44140625" customWidth="1"/>
  </cols>
  <sheetData>
    <row r="1" spans="1:6" ht="18">
      <c r="A1" s="34" t="s">
        <v>82</v>
      </c>
    </row>
    <row r="2" spans="1:6">
      <c r="A2" t="s">
        <v>104</v>
      </c>
    </row>
    <row r="3" spans="1:6">
      <c r="A3" t="s">
        <v>106</v>
      </c>
    </row>
    <row r="4" spans="1:6">
      <c r="A4" t="s">
        <v>103</v>
      </c>
    </row>
    <row r="5" spans="1:6">
      <c r="A5" t="s">
        <v>105</v>
      </c>
    </row>
    <row r="6" spans="1:6">
      <c r="A6" t="s">
        <v>148</v>
      </c>
    </row>
    <row r="8" spans="1:6">
      <c r="C8" s="53" t="s">
        <v>147</v>
      </c>
      <c r="D8" s="53"/>
      <c r="E8" s="53"/>
      <c r="F8" s="53"/>
    </row>
    <row r="9" spans="1:6">
      <c r="C9" t="s">
        <v>160</v>
      </c>
      <c r="D9" t="s">
        <v>99</v>
      </c>
      <c r="F9" t="s">
        <v>102</v>
      </c>
    </row>
    <row r="10" spans="1:6">
      <c r="C10" t="s">
        <v>98</v>
      </c>
      <c r="D10" t="s">
        <v>161</v>
      </c>
    </row>
    <row r="11" spans="1:6">
      <c r="C11" t="s">
        <v>100</v>
      </c>
      <c r="D11" t="s">
        <v>101</v>
      </c>
    </row>
    <row r="13" spans="1:6">
      <c r="C13" t="s">
        <v>95</v>
      </c>
      <c r="D13" t="s">
        <v>96</v>
      </c>
      <c r="F13" t="s">
        <v>97</v>
      </c>
    </row>
    <row r="15" spans="1:6">
      <c r="A15">
        <v>2000</v>
      </c>
      <c r="B15" t="s">
        <v>79</v>
      </c>
      <c r="C15">
        <v>1</v>
      </c>
      <c r="D15">
        <v>2</v>
      </c>
      <c r="F15">
        <v>0</v>
      </c>
    </row>
    <row r="16" spans="1:6">
      <c r="B16" t="s">
        <v>80</v>
      </c>
      <c r="C16">
        <v>2</v>
      </c>
      <c r="D16">
        <v>2</v>
      </c>
      <c r="F16">
        <v>0</v>
      </c>
    </row>
    <row r="17" spans="1:6">
      <c r="B17" t="s">
        <v>81</v>
      </c>
      <c r="C17">
        <v>3</v>
      </c>
      <c r="D17">
        <v>1</v>
      </c>
      <c r="F17">
        <v>0</v>
      </c>
    </row>
    <row r="18" spans="1:6">
      <c r="B18" t="s">
        <v>83</v>
      </c>
      <c r="C18">
        <v>4</v>
      </c>
      <c r="D18">
        <v>2</v>
      </c>
      <c r="F18">
        <v>0</v>
      </c>
    </row>
    <row r="19" spans="1:6">
      <c r="B19" t="s">
        <v>84</v>
      </c>
      <c r="C19">
        <v>5</v>
      </c>
      <c r="D19">
        <v>2</v>
      </c>
      <c r="F19">
        <v>0</v>
      </c>
    </row>
    <row r="20" spans="1:6">
      <c r="B20" t="s">
        <v>85</v>
      </c>
      <c r="C20">
        <v>6</v>
      </c>
      <c r="D20">
        <v>1</v>
      </c>
      <c r="F20">
        <v>0</v>
      </c>
    </row>
    <row r="21" spans="1:6">
      <c r="B21" t="s">
        <v>86</v>
      </c>
      <c r="C21">
        <v>7</v>
      </c>
      <c r="D21">
        <v>2</v>
      </c>
      <c r="F21">
        <v>0</v>
      </c>
    </row>
    <row r="22" spans="1:6">
      <c r="B22" t="s">
        <v>87</v>
      </c>
      <c r="C22">
        <v>8</v>
      </c>
      <c r="D22">
        <v>2</v>
      </c>
      <c r="F22">
        <v>0</v>
      </c>
    </row>
    <row r="23" spans="1:6">
      <c r="B23" t="s">
        <v>88</v>
      </c>
      <c r="C23">
        <v>9</v>
      </c>
      <c r="D23">
        <v>1</v>
      </c>
      <c r="F23">
        <v>0</v>
      </c>
    </row>
    <row r="24" spans="1:6">
      <c r="A24">
        <v>2001</v>
      </c>
      <c r="B24" t="s">
        <v>92</v>
      </c>
      <c r="C24">
        <v>10</v>
      </c>
      <c r="D24">
        <v>2</v>
      </c>
      <c r="F24">
        <v>100</v>
      </c>
    </row>
    <row r="25" spans="1:6">
      <c r="B25" t="s">
        <v>93</v>
      </c>
      <c r="C25">
        <v>11</v>
      </c>
      <c r="D25">
        <v>2</v>
      </c>
      <c r="F25">
        <v>0</v>
      </c>
    </row>
    <row r="26" spans="1:6">
      <c r="B26" t="s">
        <v>94</v>
      </c>
      <c r="C26">
        <v>12</v>
      </c>
      <c r="D26">
        <v>1</v>
      </c>
      <c r="F26">
        <v>0</v>
      </c>
    </row>
    <row r="27" spans="1:6">
      <c r="C27" t="s">
        <v>146</v>
      </c>
      <c r="D27" t="s">
        <v>146</v>
      </c>
      <c r="F27" t="s">
        <v>146</v>
      </c>
    </row>
    <row r="28" spans="1:6">
      <c r="C28" t="s">
        <v>146</v>
      </c>
      <c r="D28" t="s">
        <v>146</v>
      </c>
      <c r="F28" t="s">
        <v>146</v>
      </c>
    </row>
    <row r="29" spans="1:6">
      <c r="A29" t="s">
        <v>89</v>
      </c>
      <c r="C29">
        <f>SUM(C15:C17)</f>
        <v>6</v>
      </c>
      <c r="D29">
        <v>5</v>
      </c>
      <c r="F29">
        <v>0</v>
      </c>
    </row>
    <row r="30" spans="1:6">
      <c r="A30" t="s">
        <v>90</v>
      </c>
      <c r="C30">
        <f>SUM(C18:C20)</f>
        <v>15</v>
      </c>
      <c r="D30">
        <v>5</v>
      </c>
      <c r="F30">
        <v>0</v>
      </c>
    </row>
    <row r="31" spans="1:6">
      <c r="A31" t="s">
        <v>162</v>
      </c>
      <c r="C31">
        <f>SUM(C21:C23)</f>
        <v>24</v>
      </c>
      <c r="D31">
        <v>5</v>
      </c>
      <c r="F31">
        <v>0</v>
      </c>
    </row>
    <row r="32" spans="1:6">
      <c r="A32" t="s">
        <v>91</v>
      </c>
      <c r="C32">
        <f>SUM(C24:C26)</f>
        <v>33</v>
      </c>
      <c r="D32">
        <v>5</v>
      </c>
      <c r="F32">
        <v>100</v>
      </c>
    </row>
  </sheetData>
  <mergeCells count="1">
    <mergeCell ref="C8:F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A844-51C0-4B06-8B54-8E15B13CE72B}">
  <dimension ref="A1:D9"/>
  <sheetViews>
    <sheetView workbookViewId="0"/>
  </sheetViews>
  <sheetFormatPr defaultRowHeight="15"/>
  <cols>
    <col min="1" max="1" width="22.5546875" customWidth="1"/>
  </cols>
  <sheetData>
    <row r="1" spans="1:4" ht="18">
      <c r="A1" s="34" t="s">
        <v>131</v>
      </c>
    </row>
    <row r="2" spans="1:4" ht="15.75" customHeight="1">
      <c r="A2" t="s">
        <v>117</v>
      </c>
    </row>
    <row r="3" spans="1:4" ht="15.75" customHeight="1">
      <c r="A3" t="s">
        <v>133</v>
      </c>
    </row>
    <row r="4" spans="1:4" ht="15.75" customHeight="1">
      <c r="A4" t="s">
        <v>136</v>
      </c>
    </row>
    <row r="6" spans="1:4">
      <c r="B6" t="s">
        <v>46</v>
      </c>
      <c r="C6" t="s">
        <v>115</v>
      </c>
      <c r="D6" t="s">
        <v>116</v>
      </c>
    </row>
    <row r="7" spans="1:4">
      <c r="A7" t="s">
        <v>134</v>
      </c>
      <c r="B7" t="s">
        <v>54</v>
      </c>
      <c r="C7" t="s">
        <v>54</v>
      </c>
      <c r="D7" t="s">
        <v>54</v>
      </c>
    </row>
    <row r="8" spans="1:4">
      <c r="A8" t="s">
        <v>132</v>
      </c>
      <c r="B8" t="s">
        <v>54</v>
      </c>
      <c r="C8">
        <v>3</v>
      </c>
      <c r="D8">
        <v>4</v>
      </c>
    </row>
    <row r="9" spans="1:4">
      <c r="A9" t="s">
        <v>135</v>
      </c>
      <c r="B9">
        <v>1</v>
      </c>
      <c r="C9">
        <v>4</v>
      </c>
      <c r="D9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BECB-6957-489A-9399-136E9FE37B99}">
  <dimension ref="A1:E10"/>
  <sheetViews>
    <sheetView tabSelected="1" zoomScale="85" zoomScaleNormal="85" workbookViewId="0">
      <selection activeCell="D7" sqref="D7"/>
    </sheetView>
  </sheetViews>
  <sheetFormatPr defaultRowHeight="15"/>
  <cols>
    <col min="2" max="2" width="12.77734375" customWidth="1"/>
    <col min="3" max="3" width="16.77734375" customWidth="1"/>
    <col min="4" max="4" width="20" customWidth="1"/>
    <col min="5" max="5" width="16.88671875" bestFit="1" customWidth="1"/>
  </cols>
  <sheetData>
    <row r="1" spans="1:5" ht="18">
      <c r="A1" s="34" t="s">
        <v>163</v>
      </c>
    </row>
    <row r="2" spans="1:5">
      <c r="A2" t="s">
        <v>143</v>
      </c>
    </row>
    <row r="3" spans="1:5">
      <c r="A3" t="s">
        <v>144</v>
      </c>
    </row>
    <row r="4" spans="1:5">
      <c r="A4" s="43" t="s">
        <v>164</v>
      </c>
    </row>
    <row r="5" spans="1:5">
      <c r="A5" s="43" t="s">
        <v>213</v>
      </c>
    </row>
    <row r="7" spans="1:5" ht="15.75">
      <c r="C7" s="24" t="s">
        <v>145</v>
      </c>
      <c r="D7" t="s">
        <v>214</v>
      </c>
      <c r="E7" s="24" t="s">
        <v>145</v>
      </c>
    </row>
    <row r="8" spans="1:5" ht="15.75">
      <c r="A8" s="24" t="s">
        <v>140</v>
      </c>
      <c r="B8" s="24" t="s">
        <v>141</v>
      </c>
      <c r="C8" s="24" t="s">
        <v>137</v>
      </c>
      <c r="D8" s="24" t="s">
        <v>138</v>
      </c>
      <c r="E8" s="24" t="s">
        <v>137</v>
      </c>
    </row>
    <row r="9" spans="1:5">
      <c r="A9" t="s">
        <v>139</v>
      </c>
      <c r="B9" t="s">
        <v>142</v>
      </c>
      <c r="C9">
        <v>1</v>
      </c>
      <c r="D9">
        <v>3</v>
      </c>
      <c r="E9">
        <v>5</v>
      </c>
    </row>
    <row r="10" spans="1:5">
      <c r="A10" t="s">
        <v>139</v>
      </c>
      <c r="C10">
        <v>2</v>
      </c>
      <c r="D10">
        <v>4</v>
      </c>
      <c r="E10">
        <v>6</v>
      </c>
    </row>
  </sheetData>
  <phoneticPr fontId="2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1698-D933-4548-B9C9-07E812EFABD7}">
  <dimension ref="A1:E13"/>
  <sheetViews>
    <sheetView workbookViewId="0">
      <selection activeCell="I11" sqref="I11"/>
    </sheetView>
  </sheetViews>
  <sheetFormatPr defaultRowHeight="15"/>
  <sheetData>
    <row r="1" spans="1:5" ht="15.75">
      <c r="A1" s="24" t="s">
        <v>212</v>
      </c>
    </row>
    <row r="3" spans="1:5">
      <c r="B3" s="45" t="s">
        <v>20</v>
      </c>
      <c r="C3" s="45"/>
      <c r="D3" s="45" t="s">
        <v>21</v>
      </c>
    </row>
    <row r="4" spans="1:5">
      <c r="A4" t="s">
        <v>202</v>
      </c>
      <c r="B4" s="46" t="s">
        <v>22</v>
      </c>
      <c r="C4" s="46" t="s">
        <v>61</v>
      </c>
      <c r="D4" s="46" t="s">
        <v>203</v>
      </c>
      <c r="E4" s="18" t="s">
        <v>204</v>
      </c>
    </row>
    <row r="5" spans="1:5">
      <c r="A5" s="47" t="s">
        <v>205</v>
      </c>
    </row>
    <row r="6" spans="1:5">
      <c r="A6" s="48" t="s">
        <v>206</v>
      </c>
      <c r="B6">
        <v>1</v>
      </c>
      <c r="C6">
        <v>2</v>
      </c>
      <c r="D6">
        <v>3</v>
      </c>
      <c r="E6" t="s">
        <v>41</v>
      </c>
    </row>
    <row r="7" spans="1:5">
      <c r="A7" s="48" t="s">
        <v>207</v>
      </c>
      <c r="B7">
        <v>4</v>
      </c>
      <c r="C7">
        <v>5</v>
      </c>
      <c r="D7">
        <v>6</v>
      </c>
    </row>
    <row r="8" spans="1:5">
      <c r="A8" s="47" t="s">
        <v>208</v>
      </c>
    </row>
    <row r="9" spans="1:5">
      <c r="A9" s="48" t="s">
        <v>206</v>
      </c>
      <c r="B9">
        <v>7</v>
      </c>
      <c r="C9">
        <v>8</v>
      </c>
      <c r="D9">
        <v>9</v>
      </c>
      <c r="E9" t="s">
        <v>41</v>
      </c>
    </row>
    <row r="10" spans="1:5">
      <c r="A10" s="49" t="s">
        <v>209</v>
      </c>
      <c r="B10">
        <v>12</v>
      </c>
      <c r="C10">
        <v>15</v>
      </c>
      <c r="D10">
        <v>18</v>
      </c>
    </row>
    <row r="11" spans="1:5">
      <c r="A11" s="47" t="s">
        <v>210</v>
      </c>
    </row>
    <row r="12" spans="1:5">
      <c r="A12" s="48" t="s">
        <v>206</v>
      </c>
      <c r="B12">
        <v>10</v>
      </c>
      <c r="C12">
        <v>11</v>
      </c>
      <c r="D12">
        <v>12</v>
      </c>
    </row>
    <row r="13" spans="1:5">
      <c r="A13" s="49" t="s">
        <v>211</v>
      </c>
      <c r="B13">
        <v>10</v>
      </c>
      <c r="C13">
        <v>11</v>
      </c>
      <c r="D13">
        <v>12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demo</vt:lpstr>
      <vt:lpstr>demo_output</vt:lpstr>
      <vt:lpstr>example 1</vt:lpstr>
      <vt:lpstr>example 2</vt:lpstr>
      <vt:lpstr>example 3</vt:lpstr>
      <vt:lpstr>example 4</vt:lpstr>
      <vt:lpstr>example 5</vt:lpstr>
      <vt:lpstr>example 6</vt:lpstr>
      <vt:lpstr>example 7</vt:lpstr>
      <vt:lpstr>example 8</vt:lpstr>
      <vt:lpstr>example 9</vt:lpstr>
      <vt:lpstr>example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Wood, Emma</dc:creator>
  <cp:lastModifiedBy>Wood, Emma</cp:lastModifiedBy>
  <dcterms:created xsi:type="dcterms:W3CDTF">2026-02-11T13:11:08Z</dcterms:created>
  <dcterms:modified xsi:type="dcterms:W3CDTF">2026-05-15T07:49:43Z</dcterms:modified>
</cp:coreProperties>
</file>